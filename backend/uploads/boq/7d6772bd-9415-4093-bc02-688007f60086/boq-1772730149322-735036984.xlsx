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4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8" customWidth="1" min="3" max="3"/>
    <col width="9" customWidth="1" min="4" max="4"/>
    <col width="13" customWidth="1" min="5" max="5"/>
    <col width="14" customWidth="1" min="6" max="6"/>
    <col width="18" customWidth="1" min="7" max="7"/>
  </cols>
  <sheetData>
    <row r="1" ht="22" customHeight="1">
      <c r="A1" s="1" t="inlineStr">
        <is>
          <t>#</t>
        </is>
      </c>
      <c r="B1" s="1" t="inlineStr">
        <is>
          <t>Item Description</t>
        </is>
      </c>
      <c r="C1" s="1" t="inlineStr">
        <is>
          <t>UOM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  <c r="G1" s="1" t="inlineStr">
        <is>
          <t>Remarks</t>
        </is>
      </c>
    </row>
    <row r="2" ht="18" customHeight="1">
      <c r="A2" s="2" t="inlineStr">
        <is>
          <t>1. SITE PREPARATION</t>
        </is>
      </c>
    </row>
    <row r="3" ht="16" customHeight="1">
      <c r="A3" s="3" t="inlineStr">
        <is>
          <t>1.1</t>
        </is>
      </c>
      <c r="B3" s="4" t="inlineStr">
        <is>
          <t>Site clearing and grubbing</t>
        </is>
      </c>
      <c r="C3" s="3" t="inlineStr">
        <is>
          <t>m²</t>
        </is>
      </c>
      <c r="D3" s="3" t="n">
        <v>500</v>
      </c>
      <c r="E3" s="5" t="inlineStr"/>
      <c r="F3" s="5">
        <f>IF(D3="","",IF(E3="","",D3*E3))</f>
        <v/>
      </c>
      <c r="G3" s="4" t="inlineStr"/>
    </row>
    <row r="4" ht="16" customHeight="1">
      <c r="A4" s="6" t="inlineStr">
        <is>
          <t>1.2</t>
        </is>
      </c>
      <c r="B4" s="7" t="inlineStr">
        <is>
          <t>Demolition of existing structures</t>
        </is>
      </c>
      <c r="C4" s="6" t="inlineStr">
        <is>
          <t>m²</t>
        </is>
      </c>
      <c r="D4" s="6" t="n">
        <v>80</v>
      </c>
      <c r="E4" s="8" t="inlineStr"/>
      <c r="F4" s="8">
        <f>IF(D4="","",IF(E4="","",D4*E4))</f>
        <v/>
      </c>
      <c r="G4" s="7" t="inlineStr"/>
    </row>
    <row r="5" ht="16" customHeight="1">
      <c r="A5" s="3" t="inlineStr">
        <is>
          <t>1.3</t>
        </is>
      </c>
      <c r="B5" s="4" t="inlineStr">
        <is>
          <t>Earthworks / excavation</t>
        </is>
      </c>
      <c r="C5" s="3" t="inlineStr">
        <is>
          <t>m³</t>
        </is>
      </c>
      <c r="D5" s="3" t="n">
        <v>150</v>
      </c>
      <c r="E5" s="5" t="inlineStr"/>
      <c r="F5" s="5">
        <f>IF(D5="","",IF(E5="","",D5*E5))</f>
        <v/>
      </c>
      <c r="G5" s="4" t="inlineStr"/>
    </row>
    <row r="6" ht="16" customHeight="1">
      <c r="A6" s="6" t="inlineStr">
        <is>
          <t>1.4</t>
        </is>
      </c>
      <c r="B6" s="7" t="inlineStr">
        <is>
          <t>Backfilling and compaction</t>
        </is>
      </c>
      <c r="C6" s="6" t="inlineStr">
        <is>
          <t>m³</t>
        </is>
      </c>
      <c r="D6" s="6" t="n">
        <v>100</v>
      </c>
      <c r="E6" s="8" t="inlineStr"/>
      <c r="F6" s="8">
        <f>IF(D6="","",IF(E6="","",D6*E6))</f>
        <v/>
      </c>
      <c r="G6" s="7" t="inlineStr"/>
    </row>
    <row r="7" ht="16" customHeight="1">
      <c r="A7" s="3" t="inlineStr">
        <is>
          <t>1.5</t>
        </is>
      </c>
      <c r="B7" s="4" t="inlineStr">
        <is>
          <t>Disposal of excavated material</t>
        </is>
      </c>
      <c r="C7" s="3" t="inlineStr">
        <is>
          <t>m³</t>
        </is>
      </c>
      <c r="D7" s="3" t="n">
        <v>50</v>
      </c>
      <c r="E7" s="5" t="inlineStr"/>
      <c r="F7" s="5">
        <f>IF(D7="","",IF(E7="","",D7*E7))</f>
        <v/>
      </c>
      <c r="G7" s="4" t="inlineStr"/>
    </row>
    <row r="8" ht="18" customHeight="1">
      <c r="A8" s="2" t="inlineStr">
        <is>
          <t>2. FOUNDATION WORKS</t>
        </is>
      </c>
    </row>
    <row r="9" ht="16" customHeight="1">
      <c r="A9" s="6" t="inlineStr">
        <is>
          <t>2.1</t>
        </is>
      </c>
      <c r="B9" s="7" t="inlineStr">
        <is>
          <t>Plain cement concrete (PCC) 1:4:8</t>
        </is>
      </c>
      <c r="C9" s="6" t="inlineStr">
        <is>
          <t>m³</t>
        </is>
      </c>
      <c r="D9" s="6" t="n">
        <v>20</v>
      </c>
      <c r="E9" s="8" t="inlineStr"/>
      <c r="F9" s="8">
        <f>IF(D9="","",IF(E9="","",D9*E9))</f>
        <v/>
      </c>
      <c r="G9" s="7" t="inlineStr"/>
    </row>
    <row r="10" ht="16" customHeight="1">
      <c r="A10" s="3" t="inlineStr">
        <is>
          <t>2.2</t>
        </is>
      </c>
      <c r="B10" s="4" t="inlineStr">
        <is>
          <t>Reinforced cement concrete (RCC) footing</t>
        </is>
      </c>
      <c r="C10" s="3" t="inlineStr">
        <is>
          <t>m³</t>
        </is>
      </c>
      <c r="D10" s="3" t="n">
        <v>35</v>
      </c>
      <c r="E10" s="5" t="inlineStr"/>
      <c r="F10" s="5">
        <f>IF(D10="","",IF(E10="","",D10*E10))</f>
        <v/>
      </c>
      <c r="G10" s="4" t="inlineStr"/>
    </row>
    <row r="11" ht="16" customHeight="1">
      <c r="A11" s="6" t="inlineStr">
        <is>
          <t>2.3</t>
        </is>
      </c>
      <c r="B11" s="7" t="inlineStr">
        <is>
          <t>Reinforcement steel bars (TMT)</t>
        </is>
      </c>
      <c r="C11" s="6" t="inlineStr">
        <is>
          <t>MT</t>
        </is>
      </c>
      <c r="D11" s="6" t="n">
        <v>2.5</v>
      </c>
      <c r="E11" s="8" t="inlineStr"/>
      <c r="F11" s="8">
        <f>IF(D11="","",IF(E11="","",D11*E11))</f>
        <v/>
      </c>
      <c r="G11" s="7" t="inlineStr"/>
    </row>
    <row r="12" ht="16" customHeight="1">
      <c r="A12" s="3" t="inlineStr">
        <is>
          <t>2.4</t>
        </is>
      </c>
      <c r="B12" s="4" t="inlineStr">
        <is>
          <t>Formwork for footings</t>
        </is>
      </c>
      <c r="C12" s="3" t="inlineStr">
        <is>
          <t>m²</t>
        </is>
      </c>
      <c r="D12" s="3" t="n">
        <v>60</v>
      </c>
      <c r="E12" s="5" t="inlineStr"/>
      <c r="F12" s="5">
        <f>IF(D12="","",IF(E12="","",D12*E12))</f>
        <v/>
      </c>
      <c r="G12" s="4" t="inlineStr"/>
    </row>
    <row r="13" ht="16" customHeight="1">
      <c r="A13" s="6" t="inlineStr">
        <is>
          <t>2.5</t>
        </is>
      </c>
      <c r="B13" s="7" t="inlineStr">
        <is>
          <t>Damp proof course (DPC)</t>
        </is>
      </c>
      <c r="C13" s="6" t="inlineStr">
        <is>
          <t>m²</t>
        </is>
      </c>
      <c r="D13" s="6" t="n">
        <v>120</v>
      </c>
      <c r="E13" s="8" t="inlineStr"/>
      <c r="F13" s="8">
        <f>IF(D13="","",IF(E13="","",D13*E13))</f>
        <v/>
      </c>
      <c r="G13" s="7" t="inlineStr"/>
    </row>
    <row r="14" ht="18" customHeight="1">
      <c r="A14" s="2" t="inlineStr">
        <is>
          <t>3. STRUCTURAL WORKS</t>
        </is>
      </c>
    </row>
    <row r="15" ht="16" customHeight="1">
      <c r="A15" s="3" t="inlineStr">
        <is>
          <t>3.1</t>
        </is>
      </c>
      <c r="B15" s="4" t="inlineStr">
        <is>
          <t>RCC columns</t>
        </is>
      </c>
      <c r="C15" s="3" t="inlineStr">
        <is>
          <t>m³</t>
        </is>
      </c>
      <c r="D15" s="3" t="n">
        <v>25</v>
      </c>
      <c r="E15" s="5" t="inlineStr"/>
      <c r="F15" s="5">
        <f>IF(D15="","",IF(E15="","",D15*E15))</f>
        <v/>
      </c>
      <c r="G15" s="4" t="inlineStr"/>
    </row>
    <row r="16" ht="16" customHeight="1">
      <c r="A16" s="6" t="inlineStr">
        <is>
          <t>3.2</t>
        </is>
      </c>
      <c r="B16" s="7" t="inlineStr">
        <is>
          <t>RCC beams</t>
        </is>
      </c>
      <c r="C16" s="6" t="inlineStr">
        <is>
          <t>m³</t>
        </is>
      </c>
      <c r="D16" s="6" t="n">
        <v>30</v>
      </c>
      <c r="E16" s="8" t="inlineStr"/>
      <c r="F16" s="8">
        <f>IF(D16="","",IF(E16="","",D16*E16))</f>
        <v/>
      </c>
      <c r="G16" s="7" t="inlineStr"/>
    </row>
    <row r="17" ht="16" customHeight="1">
      <c r="A17" s="3" t="inlineStr">
        <is>
          <t>3.3</t>
        </is>
      </c>
      <c r="B17" s="4" t="inlineStr">
        <is>
          <t>RCC slab (150mm thick)</t>
        </is>
      </c>
      <c r="C17" s="3" t="inlineStr">
        <is>
          <t>m²</t>
        </is>
      </c>
      <c r="D17" s="3" t="n">
        <v>200</v>
      </c>
      <c r="E17" s="5" t="inlineStr"/>
      <c r="F17" s="5">
        <f>IF(D17="","",IF(E17="","",D17*E17))</f>
        <v/>
      </c>
      <c r="G17" s="4" t="inlineStr"/>
    </row>
    <row r="18" ht="16" customHeight="1">
      <c r="A18" s="6" t="inlineStr">
        <is>
          <t>3.4</t>
        </is>
      </c>
      <c r="B18" s="7" t="inlineStr">
        <is>
          <t>Reinforcement steel (columns &amp; beams)</t>
        </is>
      </c>
      <c r="C18" s="6" t="inlineStr">
        <is>
          <t>MT</t>
        </is>
      </c>
      <c r="D18" s="6" t="n">
        <v>5</v>
      </c>
      <c r="E18" s="8" t="inlineStr"/>
      <c r="F18" s="8">
        <f>IF(D18="","",IF(E18="","",D18*E18))</f>
        <v/>
      </c>
      <c r="G18" s="7" t="inlineStr"/>
    </row>
    <row r="19" ht="16" customHeight="1">
      <c r="A19" s="3" t="inlineStr">
        <is>
          <t>3.5</t>
        </is>
      </c>
      <c r="B19" s="4" t="inlineStr">
        <is>
          <t>Formwork for columns, beams &amp; slabs</t>
        </is>
      </c>
      <c r="C19" s="3" t="inlineStr">
        <is>
          <t>m²</t>
        </is>
      </c>
      <c r="D19" s="3" t="n">
        <v>350</v>
      </c>
      <c r="E19" s="5" t="inlineStr"/>
      <c r="F19" s="5">
        <f>IF(D19="","",IF(E19="","",D19*E19))</f>
        <v/>
      </c>
      <c r="G19" s="4" t="inlineStr"/>
    </row>
    <row r="20" ht="18" customHeight="1">
      <c r="A20" s="2" t="inlineStr">
        <is>
          <t>4. MASONRY WORKS</t>
        </is>
      </c>
    </row>
    <row r="21" ht="16" customHeight="1">
      <c r="A21" s="6" t="inlineStr">
        <is>
          <t>4.1</t>
        </is>
      </c>
      <c r="B21" s="7" t="inlineStr">
        <is>
          <t>Brick masonry (230mm thick) - external walls</t>
        </is>
      </c>
      <c r="C21" s="6" t="inlineStr">
        <is>
          <t>m²</t>
        </is>
      </c>
      <c r="D21" s="6" t="n">
        <v>180</v>
      </c>
      <c r="E21" s="8" t="inlineStr"/>
      <c r="F21" s="8">
        <f>IF(D21="","",IF(E21="","",D21*E21))</f>
        <v/>
      </c>
      <c r="G21" s="7" t="inlineStr"/>
    </row>
    <row r="22" ht="16" customHeight="1">
      <c r="A22" s="3" t="inlineStr">
        <is>
          <t>4.2</t>
        </is>
      </c>
      <c r="B22" s="4" t="inlineStr">
        <is>
          <t>Brick masonry (115mm thick) - internal walls</t>
        </is>
      </c>
      <c r="C22" s="3" t="inlineStr">
        <is>
          <t>m²</t>
        </is>
      </c>
      <c r="D22" s="3" t="n">
        <v>220</v>
      </c>
      <c r="E22" s="5" t="inlineStr"/>
      <c r="F22" s="5">
        <f>IF(D22="","",IF(E22="","",D22*E22))</f>
        <v/>
      </c>
      <c r="G22" s="4" t="inlineStr"/>
    </row>
    <row r="23" ht="16" customHeight="1">
      <c r="A23" s="6" t="inlineStr">
        <is>
          <t>4.3</t>
        </is>
      </c>
      <c r="B23" s="7" t="inlineStr">
        <is>
          <t>AAC block masonry</t>
        </is>
      </c>
      <c r="C23" s="6" t="inlineStr">
        <is>
          <t>m²</t>
        </is>
      </c>
      <c r="D23" s="6" t="n">
        <v>100</v>
      </c>
      <c r="E23" s="8" t="inlineStr"/>
      <c r="F23" s="8">
        <f>IF(D23="","",IF(E23="","",D23*E23))</f>
        <v/>
      </c>
      <c r="G23" s="7" t="inlineStr"/>
    </row>
    <row r="24" ht="16" customHeight="1">
      <c r="A24" s="3" t="inlineStr">
        <is>
          <t>4.4</t>
        </is>
      </c>
      <c r="B24" s="4" t="inlineStr">
        <is>
          <t>Lintel over openings</t>
        </is>
      </c>
      <c r="C24" s="3" t="inlineStr">
        <is>
          <t>Nos</t>
        </is>
      </c>
      <c r="D24" s="3" t="n">
        <v>20</v>
      </c>
      <c r="E24" s="5" t="inlineStr"/>
      <c r="F24" s="5">
        <f>IF(D24="","",IF(E24="","",D24*E24))</f>
        <v/>
      </c>
      <c r="G24" s="4" t="inlineStr"/>
    </row>
    <row r="25" ht="18" customHeight="1">
      <c r="A25" s="2" t="inlineStr">
        <is>
          <t>5. ROOFING WORKS</t>
        </is>
      </c>
    </row>
    <row r="26" ht="16" customHeight="1">
      <c r="A26" s="6" t="inlineStr">
        <is>
          <t>5.1</t>
        </is>
      </c>
      <c r="B26" s="7" t="inlineStr">
        <is>
          <t>RCC roof slab (150mm)</t>
        </is>
      </c>
      <c r="C26" s="6" t="inlineStr">
        <is>
          <t>m²</t>
        </is>
      </c>
      <c r="D26" s="6" t="n">
        <v>200</v>
      </c>
      <c r="E26" s="8" t="inlineStr"/>
      <c r="F26" s="8">
        <f>IF(D26="","",IF(E26="","",D26*E26))</f>
        <v/>
      </c>
      <c r="G26" s="7" t="inlineStr"/>
    </row>
    <row r="27" ht="16" customHeight="1">
      <c r="A27" s="3" t="inlineStr">
        <is>
          <t>5.2</t>
        </is>
      </c>
      <c r="B27" s="4" t="inlineStr">
        <is>
          <t>Waterproofing treatment on terrace</t>
        </is>
      </c>
      <c r="C27" s="3" t="inlineStr">
        <is>
          <t>m²</t>
        </is>
      </c>
      <c r="D27" s="3" t="n">
        <v>200</v>
      </c>
      <c r="E27" s="5" t="inlineStr"/>
      <c r="F27" s="5">
        <f>IF(D27="","",IF(E27="","",D27*E27))</f>
        <v/>
      </c>
      <c r="G27" s="4" t="inlineStr"/>
    </row>
    <row r="28" ht="16" customHeight="1">
      <c r="A28" s="6" t="inlineStr">
        <is>
          <t>5.3</t>
        </is>
      </c>
      <c r="B28" s="7" t="inlineStr">
        <is>
          <t>Heat insulation board</t>
        </is>
      </c>
      <c r="C28" s="6" t="inlineStr">
        <is>
          <t>m²</t>
        </is>
      </c>
      <c r="D28" s="6" t="n">
        <v>200</v>
      </c>
      <c r="E28" s="8" t="inlineStr"/>
      <c r="F28" s="8">
        <f>IF(D28="","",IF(E28="","",D28*E28))</f>
        <v/>
      </c>
      <c r="G28" s="7" t="inlineStr"/>
    </row>
    <row r="29" ht="16" customHeight="1">
      <c r="A29" s="3" t="inlineStr">
        <is>
          <t>5.4</t>
        </is>
      </c>
      <c r="B29" s="4" t="inlineStr">
        <is>
          <t>Roof tiles / finishing</t>
        </is>
      </c>
      <c r="C29" s="3" t="inlineStr">
        <is>
          <t>m²</t>
        </is>
      </c>
      <c r="D29" s="3" t="n">
        <v>200</v>
      </c>
      <c r="E29" s="5" t="inlineStr"/>
      <c r="F29" s="5">
        <f>IF(D29="","",IF(E29="","",D29*E29))</f>
        <v/>
      </c>
      <c r="G29" s="4" t="inlineStr"/>
    </row>
    <row r="30" ht="18" customHeight="1">
      <c r="A30" s="2" t="inlineStr">
        <is>
          <t>6. PLASTERING &amp; FINISHES</t>
        </is>
      </c>
    </row>
    <row r="31" ht="16" customHeight="1">
      <c r="A31" s="6" t="inlineStr">
        <is>
          <t>6.1</t>
        </is>
      </c>
      <c r="B31" s="7" t="inlineStr">
        <is>
          <t>Internal wall plastering (12mm)</t>
        </is>
      </c>
      <c r="C31" s="6" t="inlineStr">
        <is>
          <t>m²</t>
        </is>
      </c>
      <c r="D31" s="6" t="n">
        <v>650</v>
      </c>
      <c r="E31" s="8" t="inlineStr"/>
      <c r="F31" s="8">
        <f>IF(D31="","",IF(E31="","",D31*E31))</f>
        <v/>
      </c>
      <c r="G31" s="7" t="inlineStr"/>
    </row>
    <row r="32" ht="16" customHeight="1">
      <c r="A32" s="3" t="inlineStr">
        <is>
          <t>6.2</t>
        </is>
      </c>
      <c r="B32" s="4" t="inlineStr">
        <is>
          <t>External wall plastering (20mm)</t>
        </is>
      </c>
      <c r="C32" s="3" t="inlineStr">
        <is>
          <t>m²</t>
        </is>
      </c>
      <c r="D32" s="3" t="n">
        <v>400</v>
      </c>
      <c r="E32" s="5" t="inlineStr"/>
      <c r="F32" s="5">
        <f>IF(D32="","",IF(E32="","",D32*E32))</f>
        <v/>
      </c>
      <c r="G32" s="4" t="inlineStr"/>
    </row>
    <row r="33" ht="16" customHeight="1">
      <c r="A33" s="6" t="inlineStr">
        <is>
          <t>6.3</t>
        </is>
      </c>
      <c r="B33" s="7" t="inlineStr">
        <is>
          <t>Ceiling plastering</t>
        </is>
      </c>
      <c r="C33" s="6" t="inlineStr">
        <is>
          <t>m²</t>
        </is>
      </c>
      <c r="D33" s="6" t="n">
        <v>200</v>
      </c>
      <c r="E33" s="8" t="inlineStr"/>
      <c r="F33" s="8">
        <f>IF(D33="","",IF(E33="","",D33*E33))</f>
        <v/>
      </c>
      <c r="G33" s="7" t="inlineStr"/>
    </row>
    <row r="34" ht="16" customHeight="1">
      <c r="A34" s="3" t="inlineStr">
        <is>
          <t>6.4</t>
        </is>
      </c>
      <c r="B34" s="4" t="inlineStr">
        <is>
          <t>Textured / decorative finish (external)</t>
        </is>
      </c>
      <c r="C34" s="3" t="inlineStr">
        <is>
          <t>m²</t>
        </is>
      </c>
      <c r="D34" s="3" t="n">
        <v>150</v>
      </c>
      <c r="E34" s="5" t="inlineStr"/>
      <c r="F34" s="5">
        <f>IF(D34="","",IF(E34="","",D34*E34))</f>
        <v/>
      </c>
      <c r="G34" s="4" t="inlineStr"/>
    </row>
    <row r="35" ht="18" customHeight="1">
      <c r="A35" s="2" t="inlineStr">
        <is>
          <t>7. FLOORING WORKS</t>
        </is>
      </c>
    </row>
    <row r="36" ht="16" customHeight="1">
      <c r="A36" s="6" t="inlineStr">
        <is>
          <t>7.1</t>
        </is>
      </c>
      <c r="B36" s="7" t="inlineStr">
        <is>
          <t>Vitrified tiles (600x600mm) - living areas</t>
        </is>
      </c>
      <c r="C36" s="6" t="inlineStr">
        <is>
          <t>m²</t>
        </is>
      </c>
      <c r="D36" s="6" t="n">
        <v>120</v>
      </c>
      <c r="E36" s="8" t="inlineStr"/>
      <c r="F36" s="8">
        <f>IF(D36="","",IF(E36="","",D36*E36))</f>
        <v/>
      </c>
      <c r="G36" s="7" t="inlineStr"/>
    </row>
    <row r="37" ht="16" customHeight="1">
      <c r="A37" s="3" t="inlineStr">
        <is>
          <t>7.2</t>
        </is>
      </c>
      <c r="B37" s="4" t="inlineStr">
        <is>
          <t>Ceramic tiles (300x300mm) - bathrooms</t>
        </is>
      </c>
      <c r="C37" s="3" t="inlineStr">
        <is>
          <t>m²</t>
        </is>
      </c>
      <c r="D37" s="3" t="n">
        <v>40</v>
      </c>
      <c r="E37" s="5" t="inlineStr"/>
      <c r="F37" s="5">
        <f>IF(D37="","",IF(E37="","",D37*E37))</f>
        <v/>
      </c>
      <c r="G37" s="4" t="inlineStr"/>
    </row>
    <row r="38" ht="16" customHeight="1">
      <c r="A38" s="6" t="inlineStr">
        <is>
          <t>7.3</t>
        </is>
      </c>
      <c r="B38" s="7" t="inlineStr">
        <is>
          <t>Anti-skid tiles - outdoor areas</t>
        </is>
      </c>
      <c r="C38" s="6" t="inlineStr">
        <is>
          <t>m²</t>
        </is>
      </c>
      <c r="D38" s="6" t="n">
        <v>50</v>
      </c>
      <c r="E38" s="8" t="inlineStr"/>
      <c r="F38" s="8">
        <f>IF(D38="","",IF(E38="","",D38*E38))</f>
        <v/>
      </c>
      <c r="G38" s="7" t="inlineStr"/>
    </row>
    <row r="39" ht="16" customHeight="1">
      <c r="A39" s="3" t="inlineStr">
        <is>
          <t>7.4</t>
        </is>
      </c>
      <c r="B39" s="4" t="inlineStr">
        <is>
          <t>Skirting tiles</t>
        </is>
      </c>
      <c r="C39" s="3" t="inlineStr">
        <is>
          <t>Rmt</t>
        </is>
      </c>
      <c r="D39" s="3" t="n">
        <v>150</v>
      </c>
      <c r="E39" s="5" t="inlineStr"/>
      <c r="F39" s="5">
        <f>IF(D39="","",IF(E39="","",D39*E39))</f>
        <v/>
      </c>
      <c r="G39" s="4" t="inlineStr"/>
    </row>
    <row r="40" ht="16" customHeight="1">
      <c r="A40" s="6" t="inlineStr">
        <is>
          <t>7.5</t>
        </is>
      </c>
      <c r="B40" s="7" t="inlineStr">
        <is>
          <t>Granite flooring - entrance</t>
        </is>
      </c>
      <c r="C40" s="6" t="inlineStr">
        <is>
          <t>m²</t>
        </is>
      </c>
      <c r="D40" s="6" t="n">
        <v>20</v>
      </c>
      <c r="E40" s="8" t="inlineStr"/>
      <c r="F40" s="8">
        <f>IF(D40="","",IF(E40="","",D40*E40))</f>
        <v/>
      </c>
      <c r="G40" s="7" t="inlineStr"/>
    </row>
    <row r="41" ht="18" customHeight="1">
      <c r="A41" s="2" t="inlineStr">
        <is>
          <t>8. DOORS &amp; WINDOWS</t>
        </is>
      </c>
    </row>
    <row r="42" ht="16" customHeight="1">
      <c r="A42" s="3" t="inlineStr">
        <is>
          <t>8.1</t>
        </is>
      </c>
      <c r="B42" s="4" t="inlineStr">
        <is>
          <t>Main entrance door (teak wood)</t>
        </is>
      </c>
      <c r="C42" s="3" t="inlineStr">
        <is>
          <t>Nos</t>
        </is>
      </c>
      <c r="D42" s="3" t="n">
        <v>1</v>
      </c>
      <c r="E42" s="5" t="inlineStr"/>
      <c r="F42" s="5">
        <f>IF(D42="","",IF(E42="","",D42*E42))</f>
        <v/>
      </c>
      <c r="G42" s="4" t="inlineStr"/>
    </row>
    <row r="43" ht="16" customHeight="1">
      <c r="A43" s="6" t="inlineStr">
        <is>
          <t>8.2</t>
        </is>
      </c>
      <c r="B43" s="7" t="inlineStr">
        <is>
          <t>Internal flush doors (solid core)</t>
        </is>
      </c>
      <c r="C43" s="6" t="inlineStr">
        <is>
          <t>Nos</t>
        </is>
      </c>
      <c r="D43" s="6" t="n">
        <v>8</v>
      </c>
      <c r="E43" s="8" t="inlineStr"/>
      <c r="F43" s="8">
        <f>IF(D43="","",IF(E43="","",D43*E43))</f>
        <v/>
      </c>
      <c r="G43" s="7" t="inlineStr"/>
    </row>
    <row r="44" ht="16" customHeight="1">
      <c r="A44" s="3" t="inlineStr">
        <is>
          <t>8.3</t>
        </is>
      </c>
      <c r="B44" s="4" t="inlineStr">
        <is>
          <t>UPVC sliding windows</t>
        </is>
      </c>
      <c r="C44" s="3" t="inlineStr">
        <is>
          <t>m²</t>
        </is>
      </c>
      <c r="D44" s="3" t="n">
        <v>30</v>
      </c>
      <c r="E44" s="5" t="inlineStr"/>
      <c r="F44" s="5">
        <f>IF(D44="","",IF(E44="","",D44*E44))</f>
        <v/>
      </c>
      <c r="G44" s="4" t="inlineStr"/>
    </row>
    <row r="45" ht="16" customHeight="1">
      <c r="A45" s="6" t="inlineStr">
        <is>
          <t>8.4</t>
        </is>
      </c>
      <c r="B45" s="7" t="inlineStr">
        <is>
          <t>Aluminium windows</t>
        </is>
      </c>
      <c r="C45" s="6" t="inlineStr">
        <is>
          <t>m²</t>
        </is>
      </c>
      <c r="D45" s="6" t="n">
        <v>20</v>
      </c>
      <c r="E45" s="8" t="inlineStr"/>
      <c r="F45" s="8">
        <f>IF(D45="","",IF(E45="","",D45*E45))</f>
        <v/>
      </c>
      <c r="G45" s="7" t="inlineStr"/>
    </row>
    <row r="46" ht="16" customHeight="1">
      <c r="A46" s="3" t="inlineStr">
        <is>
          <t>8.5</t>
        </is>
      </c>
      <c r="B46" s="4" t="inlineStr">
        <is>
          <t>Door frames and fittings</t>
        </is>
      </c>
      <c r="C46" s="3" t="inlineStr">
        <is>
          <t>Set</t>
        </is>
      </c>
      <c r="D46" s="3" t="n">
        <v>9</v>
      </c>
      <c r="E46" s="5" t="inlineStr"/>
      <c r="F46" s="5">
        <f>IF(D46="","",IF(E46="","",D46*E46))</f>
        <v/>
      </c>
      <c r="G46" s="4" t="inlineStr"/>
    </row>
    <row r="47" ht="16" customHeight="1">
      <c r="A47" s="6" t="inlineStr">
        <is>
          <t>8.6</t>
        </is>
      </c>
      <c r="B47" s="7" t="inlineStr">
        <is>
          <t>Window grills (MS)</t>
        </is>
      </c>
      <c r="C47" s="6" t="inlineStr">
        <is>
          <t>m²</t>
        </is>
      </c>
      <c r="D47" s="6" t="n">
        <v>25</v>
      </c>
      <c r="E47" s="8" t="inlineStr"/>
      <c r="F47" s="8">
        <f>IF(D47="","",IF(E47="","",D47*E47))</f>
        <v/>
      </c>
      <c r="G47" s="7" t="inlineStr"/>
    </row>
    <row r="48" ht="18" customHeight="1">
      <c r="A48" s="2" t="inlineStr">
        <is>
          <t>9. PAINTING WORKS</t>
        </is>
      </c>
    </row>
    <row r="49" ht="16" customHeight="1">
      <c r="A49" s="3" t="inlineStr">
        <is>
          <t>9.1</t>
        </is>
      </c>
      <c r="B49" s="4" t="inlineStr">
        <is>
          <t>Interior emulsion paint (2 coats)</t>
        </is>
      </c>
      <c r="C49" s="3" t="inlineStr">
        <is>
          <t>m²</t>
        </is>
      </c>
      <c r="D49" s="3" t="n">
        <v>650</v>
      </c>
      <c r="E49" s="5" t="inlineStr"/>
      <c r="F49" s="5">
        <f>IF(D49="","",IF(E49="","",D49*E49))</f>
        <v/>
      </c>
      <c r="G49" s="4" t="inlineStr"/>
    </row>
    <row r="50" ht="16" customHeight="1">
      <c r="A50" s="6" t="inlineStr">
        <is>
          <t>9.2</t>
        </is>
      </c>
      <c r="B50" s="7" t="inlineStr">
        <is>
          <t>Exterior weather coat paint</t>
        </is>
      </c>
      <c r="C50" s="6" t="inlineStr">
        <is>
          <t>m²</t>
        </is>
      </c>
      <c r="D50" s="6" t="n">
        <v>400</v>
      </c>
      <c r="E50" s="8" t="inlineStr"/>
      <c r="F50" s="8">
        <f>IF(D50="","",IF(E50="","",D50*E50))</f>
        <v/>
      </c>
      <c r="G50" s="7" t="inlineStr"/>
    </row>
    <row r="51" ht="16" customHeight="1">
      <c r="A51" s="3" t="inlineStr">
        <is>
          <t>9.3</t>
        </is>
      </c>
      <c r="B51" s="4" t="inlineStr">
        <is>
          <t>Wood primer + enamel paint (doors)</t>
        </is>
      </c>
      <c r="C51" s="3" t="inlineStr">
        <is>
          <t>m²</t>
        </is>
      </c>
      <c r="D51" s="3" t="n">
        <v>60</v>
      </c>
      <c r="E51" s="5" t="inlineStr"/>
      <c r="F51" s="5">
        <f>IF(D51="","",IF(E51="","",D51*E51))</f>
        <v/>
      </c>
      <c r="G51" s="4" t="inlineStr"/>
    </row>
    <row r="52" ht="16" customHeight="1">
      <c r="A52" s="6" t="inlineStr">
        <is>
          <t>9.4</t>
        </is>
      </c>
      <c r="B52" s="7" t="inlineStr">
        <is>
          <t>Metal primer + enamel (grills/railings)</t>
        </is>
      </c>
      <c r="C52" s="6" t="inlineStr">
        <is>
          <t>m²</t>
        </is>
      </c>
      <c r="D52" s="6" t="n">
        <v>30</v>
      </c>
      <c r="E52" s="8" t="inlineStr"/>
      <c r="F52" s="8">
        <f>IF(D52="","",IF(E52="","",D52*E52))</f>
        <v/>
      </c>
      <c r="G52" s="7" t="inlineStr"/>
    </row>
    <row r="53" ht="18" customHeight="1">
      <c r="A53" s="2" t="inlineStr">
        <is>
          <t>10. PLUMBING WORKS</t>
        </is>
      </c>
    </row>
    <row r="54" ht="16" customHeight="1">
      <c r="A54" s="3" t="inlineStr">
        <is>
          <t>10.1</t>
        </is>
      </c>
      <c r="B54" s="4" t="inlineStr">
        <is>
          <t>CPVC water supply pipes &amp; fittings</t>
        </is>
      </c>
      <c r="C54" s="3" t="inlineStr">
        <is>
          <t>Set</t>
        </is>
      </c>
      <c r="D54" s="3" t="n">
        <v>1</v>
      </c>
      <c r="E54" s="5" t="inlineStr"/>
      <c r="F54" s="5">
        <f>IF(D54="","",IF(E54="","",D54*E54))</f>
        <v/>
      </c>
      <c r="G54" s="4" t="inlineStr"/>
    </row>
    <row r="55" ht="16" customHeight="1">
      <c r="A55" s="6" t="inlineStr">
        <is>
          <t>10.2</t>
        </is>
      </c>
      <c r="B55" s="7" t="inlineStr">
        <is>
          <t>PVC drainage pipes &amp; fittings</t>
        </is>
      </c>
      <c r="C55" s="6" t="inlineStr">
        <is>
          <t>Set</t>
        </is>
      </c>
      <c r="D55" s="6" t="n">
        <v>1</v>
      </c>
      <c r="E55" s="8" t="inlineStr"/>
      <c r="F55" s="8">
        <f>IF(D55="","",IF(E55="","",D55*E55))</f>
        <v/>
      </c>
      <c r="G55" s="7" t="inlineStr"/>
    </row>
    <row r="56" ht="16" customHeight="1">
      <c r="A56" s="3" t="inlineStr">
        <is>
          <t>10.3</t>
        </is>
      </c>
      <c r="B56" s="4" t="inlineStr">
        <is>
          <t>Sanitary ware - WC, washbasin, etc.</t>
        </is>
      </c>
      <c r="C56" s="3" t="inlineStr">
        <is>
          <t>Set</t>
        </is>
      </c>
      <c r="D56" s="3" t="n">
        <v>3</v>
      </c>
      <c r="E56" s="5" t="inlineStr"/>
      <c r="F56" s="5">
        <f>IF(D56="","",IF(E56="","",D56*E56))</f>
        <v/>
      </c>
      <c r="G56" s="4" t="inlineStr"/>
    </row>
    <row r="57" ht="16" customHeight="1">
      <c r="A57" s="6" t="inlineStr">
        <is>
          <t>10.4</t>
        </is>
      </c>
      <c r="B57" s="7" t="inlineStr">
        <is>
          <t>CP fittings - taps, showers, mixers</t>
        </is>
      </c>
      <c r="C57" s="6" t="inlineStr">
        <is>
          <t>Set</t>
        </is>
      </c>
      <c r="D57" s="6" t="n">
        <v>3</v>
      </c>
      <c r="E57" s="8" t="inlineStr"/>
      <c r="F57" s="8">
        <f>IF(D57="","",IF(E57="","",D57*E57))</f>
        <v/>
      </c>
      <c r="G57" s="7" t="inlineStr"/>
    </row>
    <row r="58" ht="16" customHeight="1">
      <c r="A58" s="3" t="inlineStr">
        <is>
          <t>10.5</t>
        </is>
      </c>
      <c r="B58" s="4" t="inlineStr">
        <is>
          <t>Water storage tank (1000L)</t>
        </is>
      </c>
      <c r="C58" s="3" t="inlineStr">
        <is>
          <t>Nos</t>
        </is>
      </c>
      <c r="D58" s="3" t="n">
        <v>2</v>
      </c>
      <c r="E58" s="5" t="inlineStr"/>
      <c r="F58" s="5">
        <f>IF(D58="","",IF(E58="","",D58*E58))</f>
        <v/>
      </c>
      <c r="G58" s="4" t="inlineStr"/>
    </row>
    <row r="59" ht="16" customHeight="1">
      <c r="A59" s="6" t="inlineStr">
        <is>
          <t>10.6</t>
        </is>
      </c>
      <c r="B59" s="7" t="inlineStr">
        <is>
          <t>Sump / underground tank</t>
        </is>
      </c>
      <c r="C59" s="6" t="inlineStr">
        <is>
          <t>m³</t>
        </is>
      </c>
      <c r="D59" s="6" t="n">
        <v>5</v>
      </c>
      <c r="E59" s="8" t="inlineStr"/>
      <c r="F59" s="8">
        <f>IF(D59="","",IF(E59="","",D59*E59))</f>
        <v/>
      </c>
      <c r="G59" s="7" t="inlineStr"/>
    </row>
    <row r="60" ht="18" customHeight="1">
      <c r="A60" s="2" t="inlineStr">
        <is>
          <t>11. ELECTRICAL WORKS</t>
        </is>
      </c>
    </row>
    <row r="61" ht="16" customHeight="1">
      <c r="A61" s="3" t="inlineStr">
        <is>
          <t>11.1</t>
        </is>
      </c>
      <c r="B61" s="4" t="inlineStr">
        <is>
          <t>Main distribution board (MDB)</t>
        </is>
      </c>
      <c r="C61" s="3" t="inlineStr">
        <is>
          <t>Nos</t>
        </is>
      </c>
      <c r="D61" s="3" t="n">
        <v>1</v>
      </c>
      <c r="E61" s="5" t="inlineStr"/>
      <c r="F61" s="5">
        <f>IF(D61="","",IF(E61="","",D61*E61))</f>
        <v/>
      </c>
      <c r="G61" s="4" t="inlineStr"/>
    </row>
    <row r="62" ht="16" customHeight="1">
      <c r="A62" s="6" t="inlineStr">
        <is>
          <t>11.2</t>
        </is>
      </c>
      <c r="B62" s="7" t="inlineStr">
        <is>
          <t>Sub distribution boards</t>
        </is>
      </c>
      <c r="C62" s="6" t="inlineStr">
        <is>
          <t>Nos</t>
        </is>
      </c>
      <c r="D62" s="6" t="n">
        <v>2</v>
      </c>
      <c r="E62" s="8" t="inlineStr"/>
      <c r="F62" s="8">
        <f>IF(D62="","",IF(E62="","",D62*E62))</f>
        <v/>
      </c>
      <c r="G62" s="7" t="inlineStr"/>
    </row>
    <row r="63" ht="16" customHeight="1">
      <c r="A63" s="3" t="inlineStr">
        <is>
          <t>11.3</t>
        </is>
      </c>
      <c r="B63" s="4" t="inlineStr">
        <is>
          <t>Wiring - power &amp; lighting circuits</t>
        </is>
      </c>
      <c r="C63" s="3" t="inlineStr">
        <is>
          <t>Set</t>
        </is>
      </c>
      <c r="D63" s="3" t="n">
        <v>1</v>
      </c>
      <c r="E63" s="5" t="inlineStr"/>
      <c r="F63" s="5">
        <f>IF(D63="","",IF(E63="","",D63*E63))</f>
        <v/>
      </c>
      <c r="G63" s="4" t="inlineStr"/>
    </row>
    <row r="64" ht="16" customHeight="1">
      <c r="A64" s="6" t="inlineStr">
        <is>
          <t>11.4</t>
        </is>
      </c>
      <c r="B64" s="7" t="inlineStr">
        <is>
          <t>Light points (switches &amp; fixtures)</t>
        </is>
      </c>
      <c r="C64" s="6" t="inlineStr">
        <is>
          <t>Nos</t>
        </is>
      </c>
      <c r="D64" s="6" t="n">
        <v>40</v>
      </c>
      <c r="E64" s="8" t="inlineStr"/>
      <c r="F64" s="8">
        <f>IF(D64="","",IF(E64="","",D64*E64))</f>
        <v/>
      </c>
      <c r="G64" s="7" t="inlineStr"/>
    </row>
    <row r="65" ht="16" customHeight="1">
      <c r="A65" s="3" t="inlineStr">
        <is>
          <t>11.5</t>
        </is>
      </c>
      <c r="B65" s="4" t="inlineStr">
        <is>
          <t>Power outlets (15A &amp; 5A)</t>
        </is>
      </c>
      <c r="C65" s="3" t="inlineStr">
        <is>
          <t>Nos</t>
        </is>
      </c>
      <c r="D65" s="3" t="n">
        <v>30</v>
      </c>
      <c r="E65" s="5" t="inlineStr"/>
      <c r="F65" s="5">
        <f>IF(D65="","",IF(E65="","",D65*E65))</f>
        <v/>
      </c>
      <c r="G65" s="4" t="inlineStr"/>
    </row>
    <row r="66" ht="16" customHeight="1">
      <c r="A66" s="6" t="inlineStr">
        <is>
          <t>11.6</t>
        </is>
      </c>
      <c r="B66" s="7" t="inlineStr">
        <is>
          <t>Earthing &amp; lightning protection</t>
        </is>
      </c>
      <c r="C66" s="6" t="inlineStr">
        <is>
          <t>Set</t>
        </is>
      </c>
      <c r="D66" s="6" t="n">
        <v>1</v>
      </c>
      <c r="E66" s="8" t="inlineStr"/>
      <c r="F66" s="8">
        <f>IF(D66="","",IF(E66="","",D66*E66))</f>
        <v/>
      </c>
      <c r="G66" s="7" t="inlineStr"/>
    </row>
    <row r="67" ht="18" customHeight="1">
      <c r="A67" s="2" t="inlineStr">
        <is>
          <t>12. MISCELLANEOUS</t>
        </is>
      </c>
    </row>
    <row r="68" ht="16" customHeight="1">
      <c r="A68" s="3" t="inlineStr">
        <is>
          <t>12.1</t>
        </is>
      </c>
      <c r="B68" s="4" t="inlineStr">
        <is>
          <t>Staircase with MS railing</t>
        </is>
      </c>
      <c r="C68" s="3" t="inlineStr">
        <is>
          <t>Nos</t>
        </is>
      </c>
      <c r="D68" s="3" t="n">
        <v>1</v>
      </c>
      <c r="E68" s="5" t="inlineStr"/>
      <c r="F68" s="5">
        <f>IF(D68="","",IF(E68="","",D68*E68))</f>
        <v/>
      </c>
      <c r="G68" s="4" t="inlineStr"/>
    </row>
    <row r="69" ht="16" customHeight="1">
      <c r="A69" s="6" t="inlineStr">
        <is>
          <t>12.2</t>
        </is>
      </c>
      <c r="B69" s="7" t="inlineStr">
        <is>
          <t>Compound wall (1.5m height)</t>
        </is>
      </c>
      <c r="C69" s="6" t="inlineStr">
        <is>
          <t>Rmt</t>
        </is>
      </c>
      <c r="D69" s="6" t="n">
        <v>60</v>
      </c>
      <c r="E69" s="8" t="inlineStr"/>
      <c r="F69" s="8">
        <f>IF(D69="","",IF(E69="","",D69*E69))</f>
        <v/>
      </c>
      <c r="G69" s="7" t="inlineStr"/>
    </row>
    <row r="70" ht="16" customHeight="1">
      <c r="A70" s="3" t="inlineStr">
        <is>
          <t>12.3</t>
        </is>
      </c>
      <c r="B70" s="4" t="inlineStr">
        <is>
          <t>Gate (MS fabricated)</t>
        </is>
      </c>
      <c r="C70" s="3" t="inlineStr">
        <is>
          <t>Nos</t>
        </is>
      </c>
      <c r="D70" s="3" t="n">
        <v>1</v>
      </c>
      <c r="E70" s="5" t="inlineStr"/>
      <c r="F70" s="5">
        <f>IF(D70="","",IF(E70="","",D70*E70))</f>
        <v/>
      </c>
      <c r="G70" s="4" t="inlineStr"/>
    </row>
    <row r="71" ht="16" customHeight="1">
      <c r="A71" s="6" t="inlineStr">
        <is>
          <t>12.4</t>
        </is>
      </c>
      <c r="B71" s="7" t="inlineStr">
        <is>
          <t>Paving blocks - driveway/pathway</t>
        </is>
      </c>
      <c r="C71" s="6" t="inlineStr">
        <is>
          <t>m²</t>
        </is>
      </c>
      <c r="D71" s="6" t="n">
        <v>80</v>
      </c>
      <c r="E71" s="8" t="inlineStr"/>
      <c r="F71" s="8">
        <f>IF(D71="","",IF(E71="","",D71*E71))</f>
        <v/>
      </c>
      <c r="G71" s="7" t="inlineStr"/>
    </row>
    <row r="72" ht="16" customHeight="1">
      <c r="A72" s="3" t="inlineStr">
        <is>
          <t>12.5</t>
        </is>
      </c>
      <c r="B72" s="4" t="inlineStr">
        <is>
          <t>Landscaping &amp; planting</t>
        </is>
      </c>
      <c r="C72" s="3" t="inlineStr">
        <is>
          <t>LS</t>
        </is>
      </c>
      <c r="D72" s="3" t="n">
        <v>1</v>
      </c>
      <c r="E72" s="5" t="inlineStr"/>
      <c r="F72" s="5">
        <f>IF(D72="","",IF(E72="","",D72*E72))</f>
        <v/>
      </c>
      <c r="G72" s="4" t="inlineStr"/>
    </row>
    <row r="73" ht="22" customHeight="1">
      <c r="A73" s="9" t="inlineStr">
        <is>
          <t>GRAND TOTAL</t>
        </is>
      </c>
      <c r="F73" s="10">
        <f>F3+F4+F5+F6+F7+F9+F10+F11+F12+F13+F15+F16+F17+F18+F19+F21+F22+F23+F24+F26+F27+F28+F29+F31+F32+F33+F34+F36+F37+F38+F39+F40+F42+F43+F44+F45+F46+F47+F49+F50+F51+F52+F54+F55+F56+F57+F58+F59+F61+F62+F63+F64+F65+F66+F68+F69+F70+F71+F72</f>
        <v/>
      </c>
      <c r="G73" s="11" t="n"/>
    </row>
  </sheetData>
  <mergeCells count="13">
    <mergeCell ref="A14:G14"/>
    <mergeCell ref="A73:E73"/>
    <mergeCell ref="A67:G67"/>
    <mergeCell ref="A8:G8"/>
    <mergeCell ref="A53:G53"/>
    <mergeCell ref="A35:G35"/>
    <mergeCell ref="A48:G48"/>
    <mergeCell ref="A20:G20"/>
    <mergeCell ref="A30:G30"/>
    <mergeCell ref="A2:G2"/>
    <mergeCell ref="A25:G25"/>
    <mergeCell ref="A60:G60"/>
    <mergeCell ref="A41:G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2026-03-03T08:52:33Z</dcterms:created>
  <dcterms:modified xmlns:dcterms="http://purl.org/dc/terms/" xmlns:xsi="http://www.w3.org/2001/XMLSchema-instance" xsi:type="dcterms:W3CDTF">2026-03-03T08:52:33Z</dcterms:modified>
</cp:coreProperties>
</file>