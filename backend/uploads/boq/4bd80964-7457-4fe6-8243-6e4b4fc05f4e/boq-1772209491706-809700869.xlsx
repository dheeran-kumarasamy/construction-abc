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ill of Quantities" sheetId="1" r:id="rId4"/>
  </sheets>
</workbook>
</file>

<file path=xl/sharedStrings.xml><?xml version="1.0" encoding="utf-8"?>
<sst xmlns="http://schemas.openxmlformats.org/spreadsheetml/2006/main" uniqueCount="21">
  <si>
    <t>Item</t>
  </si>
  <si>
    <t>Unit</t>
  </si>
  <si>
    <t>Qty</t>
  </si>
  <si>
    <t>Rate (₹)</t>
  </si>
  <si>
    <t>Amount (₹)</t>
  </si>
  <si>
    <t>Remarks</t>
  </si>
  <si>
    <t>TMT Fe500D bars – 8mm dia (stirrups &amp; ties)</t>
  </si>
  <si>
    <t>MT</t>
  </si>
  <si>
    <t>TMT Fe500D bars – 10mm dia (slab reinforcement)</t>
  </si>
  <si>
    <t>TMT Fe500D bars – 12mm dia (beam reinforcement)</t>
  </si>
  <si>
    <t>TMT Fe500D bars – 16mm dia (column main bars)</t>
  </si>
  <si>
    <t>TMT Fe500D bars – 20mm dia (column main bars)</t>
  </si>
  <si>
    <t>TMT Fe500D bars – 25mm dia (footing main bars)</t>
  </si>
  <si>
    <t>Mild Steel lintels over door/window openings – ISMC 100</t>
  </si>
  <si>
    <t>Rolled Steel Joist (RSJ) for staircase support – ISMB 200</t>
  </si>
  <si>
    <t>Anchor bolts, hold-down bolts &amp; misc. fasteners</t>
  </si>
  <si>
    <t>LS</t>
  </si>
  <si>
    <t>Cutting, bending, binding &amp; placing reinforcement bars</t>
  </si>
  <si>
    <t>Lapping, welding &amp; splicing of structural steel</t>
  </si>
  <si>
    <t>Anti-corrosion coating (epoxy primer) for structural steel</t>
  </si>
  <si>
    <t>m²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</si>
</sst>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₹&quot;#,##0.00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thin">
        <color indexed="11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n">
        <color indexed="11"/>
      </bottom>
      <diagonal/>
    </border>
    <border>
      <left style="medium">
        <color indexed="10"/>
      </left>
      <right style="thin">
        <color indexed="11"/>
      </right>
      <top style="medium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1" fontId="3" fillId="2" borderId="1" applyNumberFormat="1" applyFont="1" applyFill="1" applyBorder="1" applyAlignment="1" applyProtection="0">
      <alignment horizontal="center" vertical="center"/>
    </xf>
    <xf numFmtId="1" fontId="3" fillId="2" borderId="2" applyNumberFormat="1" applyFont="1" applyFill="1" applyBorder="1" applyAlignment="1" applyProtection="0">
      <alignment horizontal="center" vertical="center"/>
    </xf>
    <xf numFmtId="1" fontId="3" fillId="2" borderId="3" applyNumberFormat="1" applyFont="1" applyFill="1" applyBorder="1" applyAlignment="1" applyProtection="0">
      <alignment horizontal="center" vertical="center"/>
    </xf>
    <xf numFmtId="1" fontId="3" fillId="2" borderId="4" applyNumberFormat="1" applyFont="1" applyFill="1" applyBorder="1" applyAlignment="1" applyProtection="0">
      <alignment horizontal="center" vertical="center"/>
    </xf>
    <xf numFmtId="49" fontId="4" fillId="3" borderId="5" applyNumberFormat="1" applyFont="1" applyFill="1" applyBorder="1" applyAlignment="1" applyProtection="0">
      <alignment horizontal="left" vertical="center" wrapText="1"/>
    </xf>
    <xf numFmtId="49" fontId="4" fillId="3" borderId="5" applyNumberFormat="1" applyFont="1" applyFill="1" applyBorder="1" applyAlignment="1" applyProtection="0">
      <alignment horizontal="center" vertical="center"/>
    </xf>
    <xf numFmtId="4" fontId="4" fillId="3" borderId="5" applyNumberFormat="1" applyFont="1" applyFill="1" applyBorder="1" applyAlignment="1" applyProtection="0">
      <alignment horizontal="center" vertical="center"/>
    </xf>
    <xf numFmtId="59" fontId="4" fillId="3" borderId="5" applyNumberFormat="1" applyFont="1" applyFill="1" applyBorder="1" applyAlignment="1" applyProtection="0">
      <alignment horizontal="right" vertical="center"/>
    </xf>
    <xf numFmtId="1" fontId="0" fillId="3" borderId="5" applyNumberFormat="1" applyFont="1" applyFill="1" applyBorder="1" applyAlignment="1" applyProtection="0">
      <alignment vertical="bottom"/>
    </xf>
    <xf numFmtId="49" fontId="4" fillId="4" borderId="5" applyNumberFormat="1" applyFont="1" applyFill="1" applyBorder="1" applyAlignment="1" applyProtection="0">
      <alignment horizontal="left" vertical="center" wrapText="1"/>
    </xf>
    <xf numFmtId="49" fontId="4" fillId="4" borderId="5" applyNumberFormat="1" applyFont="1" applyFill="1" applyBorder="1" applyAlignment="1" applyProtection="0">
      <alignment horizontal="center" vertical="center"/>
    </xf>
    <xf numFmtId="4" fontId="4" fillId="4" borderId="5" applyNumberFormat="1" applyFont="1" applyFill="1" applyBorder="1" applyAlignment="1" applyProtection="0">
      <alignment horizontal="center" vertical="center"/>
    </xf>
    <xf numFmtId="59" fontId="4" fillId="4" borderId="5" applyNumberFormat="1" applyFont="1" applyFill="1" applyBorder="1" applyAlignment="1" applyProtection="0">
      <alignment horizontal="right" vertical="center"/>
    </xf>
    <xf numFmtId="1" fontId="0" fillId="4" borderId="5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9"/>
      <rgbColor rgb="ffaaaaaa"/>
      <rgbColor rgb="ffebf5f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4"/>
  <sheetViews>
    <sheetView workbookViewId="0" showGridLines="0" defaultGridColor="1"/>
  </sheetViews>
  <sheetFormatPr defaultColWidth="8.66667" defaultRowHeight="15" customHeight="1" outlineLevelRow="0" outlineLevelCol="0"/>
  <cols>
    <col min="1" max="1" width="42" style="1" customWidth="1"/>
    <col min="2" max="2" width="8" style="1" customWidth="1"/>
    <col min="3" max="3" width="10" style="1" customWidth="1"/>
    <col min="4" max="4" width="14" style="1" customWidth="1"/>
    <col min="5" max="5" width="16" style="1" customWidth="1"/>
    <col min="6" max="8" width="10" style="1" customWidth="1"/>
    <col min="9" max="16384" width="8.67188" style="1" customWidth="1"/>
  </cols>
  <sheetData>
    <row r="1" ht="24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  <c r="H1" s="4"/>
    </row>
    <row r="2" ht="8" customHeight="1">
      <c r="A2" s="5"/>
      <c r="B2" s="5"/>
      <c r="C2" s="5"/>
      <c r="D2" s="5"/>
      <c r="E2" s="5"/>
      <c r="F2" s="5"/>
      <c r="G2" s="5"/>
      <c r="H2" s="6"/>
    </row>
    <row r="3" ht="19.5" customHeight="1">
      <c r="A3" t="s" s="7">
        <v>6</v>
      </c>
      <c r="B3" t="s" s="8">
        <v>7</v>
      </c>
      <c r="C3" s="9">
        <v>4.2</v>
      </c>
      <c r="D3" s="10">
        <v>62000</v>
      </c>
      <c r="E3" s="10">
        <f>C3*D3</f>
        <v>260400</v>
      </c>
      <c r="F3" s="11"/>
      <c r="G3" s="11"/>
      <c r="H3" s="11"/>
    </row>
    <row r="4" ht="19.5" customHeight="1">
      <c r="A4" t="s" s="12">
        <v>8</v>
      </c>
      <c r="B4" t="s" s="13">
        <v>7</v>
      </c>
      <c r="C4" s="14">
        <v>8.5</v>
      </c>
      <c r="D4" s="15">
        <v>60500</v>
      </c>
      <c r="E4" s="15">
        <f>C4*D4</f>
        <v>514250</v>
      </c>
      <c r="F4" s="16"/>
      <c r="G4" s="16"/>
      <c r="H4" s="16"/>
    </row>
    <row r="5" ht="19.5" customHeight="1">
      <c r="A5" t="s" s="7">
        <v>9</v>
      </c>
      <c r="B5" t="s" s="8">
        <v>7</v>
      </c>
      <c r="C5" s="9">
        <v>12.8</v>
      </c>
      <c r="D5" s="10">
        <v>60000</v>
      </c>
      <c r="E5" s="10">
        <f>C5*D5</f>
        <v>768000</v>
      </c>
      <c r="F5" s="11"/>
      <c r="G5" s="11"/>
      <c r="H5" s="11"/>
    </row>
    <row r="6" ht="19.5" customHeight="1">
      <c r="A6" t="s" s="12">
        <v>10</v>
      </c>
      <c r="B6" t="s" s="13">
        <v>7</v>
      </c>
      <c r="C6" s="14">
        <v>15.6</v>
      </c>
      <c r="D6" s="15">
        <v>59500</v>
      </c>
      <c r="E6" s="15">
        <f>C6*D6</f>
        <v>928200</v>
      </c>
      <c r="F6" s="16"/>
      <c r="G6" s="16"/>
      <c r="H6" s="16"/>
    </row>
    <row r="7" ht="19.5" customHeight="1">
      <c r="A7" t="s" s="7">
        <v>11</v>
      </c>
      <c r="B7" t="s" s="8">
        <v>7</v>
      </c>
      <c r="C7" s="9">
        <v>10.2</v>
      </c>
      <c r="D7" s="10">
        <v>59000</v>
      </c>
      <c r="E7" s="10">
        <f>C7*D7</f>
        <v>601800</v>
      </c>
      <c r="F7" s="11"/>
      <c r="G7" s="11"/>
      <c r="H7" s="11"/>
    </row>
    <row r="8" ht="19.5" customHeight="1">
      <c r="A8" t="s" s="12">
        <v>12</v>
      </c>
      <c r="B8" t="s" s="13">
        <v>7</v>
      </c>
      <c r="C8" s="14">
        <v>6.8</v>
      </c>
      <c r="D8" s="15">
        <v>58500</v>
      </c>
      <c r="E8" s="15">
        <f>C8*D8</f>
        <v>397800</v>
      </c>
      <c r="F8" s="16"/>
      <c r="G8" s="16"/>
      <c r="H8" s="16"/>
    </row>
    <row r="9" ht="19.5" customHeight="1">
      <c r="A9" t="s" s="12">
        <v>13</v>
      </c>
      <c r="B9" t="s" s="13">
        <v>7</v>
      </c>
      <c r="C9" s="14">
        <v>1.8</v>
      </c>
      <c r="D9" s="15">
        <v>75000</v>
      </c>
      <c r="E9" s="15">
        <f>C9*D9</f>
        <v>135000</v>
      </c>
      <c r="F9" s="16"/>
      <c r="G9" s="16"/>
      <c r="H9" s="16"/>
    </row>
    <row r="10" ht="19.5" customHeight="1">
      <c r="A10" t="s" s="7">
        <v>14</v>
      </c>
      <c r="B10" t="s" s="8">
        <v>7</v>
      </c>
      <c r="C10" s="9">
        <v>2.4</v>
      </c>
      <c r="D10" s="10">
        <v>78000</v>
      </c>
      <c r="E10" s="10">
        <f>C10*D10</f>
        <v>187200</v>
      </c>
      <c r="F10" s="11"/>
      <c r="G10" s="11"/>
      <c r="H10" s="11"/>
    </row>
    <row r="11" ht="19.5" customHeight="1">
      <c r="A11" t="s" s="12">
        <v>15</v>
      </c>
      <c r="B11" t="s" s="13">
        <v>16</v>
      </c>
      <c r="C11" s="14">
        <v>1</v>
      </c>
      <c r="D11" s="15">
        <v>85000</v>
      </c>
      <c r="E11" s="15">
        <f>C11*D11</f>
        <v>85000</v>
      </c>
      <c r="F11" s="16"/>
      <c r="G11" s="16"/>
      <c r="H11" s="16"/>
    </row>
    <row r="12" ht="19.5" customHeight="1">
      <c r="A12" t="s" s="12">
        <v>17</v>
      </c>
      <c r="B12" t="s" s="13">
        <v>7</v>
      </c>
      <c r="C12" s="14">
        <v>58.1</v>
      </c>
      <c r="D12" s="15">
        <v>2500</v>
      </c>
      <c r="E12" s="15">
        <f>C12*D12</f>
        <v>145250</v>
      </c>
      <c r="F12" s="16"/>
      <c r="G12" s="16"/>
      <c r="H12" s="16"/>
    </row>
    <row r="13" ht="19.5" customHeight="1">
      <c r="A13" t="s" s="7">
        <v>18</v>
      </c>
      <c r="B13" t="s" s="8">
        <v>7</v>
      </c>
      <c r="C13" s="9">
        <v>4.2</v>
      </c>
      <c r="D13" s="10">
        <v>4500</v>
      </c>
      <c r="E13" s="10">
        <f>C13*D13</f>
        <v>18900</v>
      </c>
      <c r="F13" s="11"/>
      <c r="G13" s="11"/>
      <c r="H13" s="11"/>
    </row>
    <row r="14" ht="19.5" customHeight="1">
      <c r="A14" t="s" s="12">
        <v>19</v>
      </c>
      <c r="B14" t="s" s="13">
        <v>20</v>
      </c>
      <c r="C14" s="14">
        <v>320</v>
      </c>
      <c r="D14" s="15">
        <v>150</v>
      </c>
      <c r="E14" s="15">
        <f>C14*D14</f>
        <v>48000</v>
      </c>
      <c r="F14" s="16"/>
      <c r="G14" s="16"/>
      <c r="H14" s="16"/>
    </row>
  </sheetData>
  <mergeCells count="18">
    <mergeCell ref="A1:A2"/>
    <mergeCell ref="B1:B2"/>
    <mergeCell ref="C1:C2"/>
    <mergeCell ref="D1:D2"/>
    <mergeCell ref="E1:E2"/>
    <mergeCell ref="F1:H2"/>
    <mergeCell ref="F3:H3"/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</mergeCells>
  <pageMargins left="0.5" right="0.5" top="1" bottom="1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